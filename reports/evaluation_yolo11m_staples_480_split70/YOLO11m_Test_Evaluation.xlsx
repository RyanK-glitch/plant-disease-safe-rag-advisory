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r-Class Metrics" sheetId="1" state="visible" r:id="rId3"/>
    <sheet name="Error Breakdown" sheetId="2" state="visible" r:id="rId4"/>
    <sheet name="Confusion Matrix" sheetId="3" state="visible" r:id="rId5"/>
    <sheet name="Misclassified Images" sheetId="4" state="visible" r:id="rId6"/>
  </sheets>
  <definedNames>
    <definedName function="false" hidden="true" localSheetId="3" name="_xlnm._FilterDatabase" vbProcedure="false">'Misclassified Images'!$A$4:$C$80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<sst xmlns="http://schemas.openxmlformats.org/spreadsheetml/2006/main" count="350" uniqueCount="130">
  <si>
    <t xml:space="preserve">Per-class precision, recall and F1</t>
  </si>
  <si>
    <t xml:space="preserve">All values are formulas on the Confusion Matrix sheet. Yellow rows = F1 below 0.90.</t>
  </si>
  <si>
    <t xml:space="preserve">Class</t>
  </si>
  <si>
    <t xml:space="preserve">Correct (TP)</t>
  </si>
  <si>
    <t xml:space="preserve">Support (true images)</t>
  </si>
  <si>
    <t xml:space="preserve">Predicted as this class</t>
  </si>
  <si>
    <t xml:space="preserve">Precision</t>
  </si>
  <si>
    <t xml:space="preserve">Recall</t>
  </si>
  <si>
    <t xml:space="preserve">F1</t>
  </si>
  <si>
    <t xml:space="preserve">maize_common_rust</t>
  </si>
  <si>
    <t xml:space="preserve">maize_gray_leaf_spot</t>
  </si>
  <si>
    <t xml:space="preserve">maize_healthy</t>
  </si>
  <si>
    <t xml:space="preserve">maize_northern_leaf_blight</t>
  </si>
  <si>
    <t xml:space="preserve">potato_early_blight</t>
  </si>
  <si>
    <t xml:space="preserve">potato_healthy</t>
  </si>
  <si>
    <t xml:space="preserve">potato_late_blight</t>
  </si>
  <si>
    <t xml:space="preserve">rice_brown_spot</t>
  </si>
  <si>
    <t xml:space="preserve">rice_healthy</t>
  </si>
  <si>
    <t xml:space="preserve">rice_leaf_blast</t>
  </si>
  <si>
    <t xml:space="preserve">rice_neck_blast</t>
  </si>
  <si>
    <t xml:space="preserve">wheat_brown_rust</t>
  </si>
  <si>
    <t xml:space="preserve">wheat_healthy</t>
  </si>
  <si>
    <t xml:space="preserve">wheat_yellow_rust</t>
  </si>
  <si>
    <t xml:space="preserve">Overall</t>
  </si>
  <si>
    <t xml:space="preserve">Images</t>
  </si>
  <si>
    <t xml:space="preserve">Accuracy</t>
  </si>
  <si>
    <t xml:space="preserve">Macro average</t>
  </si>
  <si>
    <t xml:space="preserve">Weighted average</t>
  </si>
  <si>
    <t xml:space="preserve">Headline metric for the report: macro F1 (highlighted). Re-run evaluate_model.py after training finishes and paste the new counts into the Confusion Matrix sheet.</t>
  </si>
  <si>
    <t xml:space="preserve">Where the errors come from</t>
  </si>
  <si>
    <t xml:space="preserve">Counts are COUNTIFS formulas on the Misclassified Images sheet, sorted by count.</t>
  </si>
  <si>
    <t xml:space="preserve">True class</t>
  </si>
  <si>
    <t xml:space="preserve">Predicted as</t>
  </si>
  <si>
    <t xml:space="preserve">Count</t>
  </si>
  <si>
    <t xml:space="preserve">Share of all errors</t>
  </si>
  <si>
    <t xml:space="preserve">Note</t>
  </si>
  <si>
    <t xml:space="preserve">Diseased leaf called healthy: no treatment would be advised</t>
  </si>
  <si>
    <t xml:space="preserve">Similar small brown lesions on narrow leaves</t>
  </si>
  <si>
    <t xml:space="preserve">Both cause elongated grey/tan lesions</t>
  </si>
  <si>
    <t xml:space="preserve">Wrong crop predicted</t>
  </si>
  <si>
    <t xml:space="preserve">Total errors</t>
  </si>
  <si>
    <t xml:space="preserve">Key figures</t>
  </si>
  <si>
    <t xml:space="preserve">Errors within rice</t>
  </si>
  <si>
    <t xml:space="preserve">Rice is the weak spot</t>
  </si>
  <si>
    <t xml:space="preserve">Diseased leaf predicted healthy</t>
  </si>
  <si>
    <t xml:space="preserve">Most costly error: no treatment advised</t>
  </si>
  <si>
    <t xml:space="preserve">Crop is almost always identified correctly</t>
  </si>
  <si>
    <t xml:space="preserve">Test-set confusion matrix (counts)</t>
  </si>
  <si>
    <t xml:space="preserve">Rows = true class, columns = predicted class. Source: evaluation/evaluate_model.py on data/processed/test (1,779 images), model yolo11m_staples_480_split70 best.pt (epoch-12 checkpoint), run 13 Oct 2026.</t>
  </si>
  <si>
    <t xml:space="preserve">True \ Predicted</t>
  </si>
  <si>
    <t xml:space="preserve">Misclassified test images</t>
  </si>
  <si>
    <t xml:space="preserve">From reports/evaluation_yolo11m_staples_480_split70/misclassified.csv. Paths are relative to the project folder.</t>
  </si>
  <si>
    <t xml:space="preserve">Image</t>
  </si>
  <si>
    <t xml:space="preserve">Predicted class</t>
  </si>
  <si>
    <t xml:space="preserve">data/processed/test/maize_gray_leaf_spot/image (171).JPG</t>
  </si>
  <si>
    <t xml:space="preserve">data/processed/test/maize_gray_leaf_spot/image (267).JPG</t>
  </si>
  <si>
    <t xml:space="preserve">data/processed/test/maize_gray_leaf_spot/image (31).jpg</t>
  </si>
  <si>
    <t xml:space="preserve">data/processed/test/maize_gray_leaf_spot/image (312).JPG</t>
  </si>
  <si>
    <t xml:space="preserve">data/processed/test/maize_gray_leaf_spot/image (473).JPG</t>
  </si>
  <si>
    <t xml:space="preserve">data/processed/test/maize_gray_leaf_spot/image (499).JPG</t>
  </si>
  <si>
    <t xml:space="preserve">data/processed/test/maize_gray_leaf_spot/image (79).JPG</t>
  </si>
  <si>
    <t xml:space="preserve">data/processed/test/maize_northern_leaf_blight/image (895).JPG</t>
  </si>
  <si>
    <t xml:space="preserve">data/processed/test/potato_late_blight/new_potato_late_blight_train_00225.jpg</t>
  </si>
  <si>
    <t xml:space="preserve">data/processed/test/potato_late_blight/new_potato_late_blight_train_00872.jpg</t>
  </si>
  <si>
    <t xml:space="preserve">data/processed/test/rice_brown_spot/IMG_20190419_095715.jpg</t>
  </si>
  <si>
    <t xml:space="preserve">data/processed/test/rice_brown_spot/IMG_20190419_100805.jpg</t>
  </si>
  <si>
    <t xml:space="preserve">data/processed/test/rice_brown_spot/IMG_20190419_113933.jpg</t>
  </si>
  <si>
    <t xml:space="preserve">data/processed/test/rice_brown_spot/IMG_20190419_145335.jpg</t>
  </si>
  <si>
    <t xml:space="preserve">data/processed/test/rice_brown_spot/IMG_20190419_161513.jpg</t>
  </si>
  <si>
    <t xml:space="preserve">data/processed/test/rice_brown_spot/IMG_20190420_191137.jpg</t>
  </si>
  <si>
    <t xml:space="preserve">data/processed/test/rice_brown_spot/IMG_20190421_200151.jpg</t>
  </si>
  <si>
    <t xml:space="preserve">data/processed/test/rice_brown_spot/IMG_20190424_131042.jpg</t>
  </si>
  <si>
    <t xml:space="preserve">data/processed/test/rice_brown_spot/IMG_20190424_132316.jpg</t>
  </si>
  <si>
    <t xml:space="preserve">data/processed/test/rice_brown_spot/IMG_3066.jpg</t>
  </si>
  <si>
    <t xml:space="preserve">data/processed/test/rice_brown_spot/IMG_3072.jpg</t>
  </si>
  <si>
    <t xml:space="preserve">data/processed/test/rice_brown_spot/IMG_4864.jpg</t>
  </si>
  <si>
    <t xml:space="preserve">data/processed/test/rice_brown_spot/IMG_4866.jpg</t>
  </si>
  <si>
    <t xml:space="preserve">data/processed/test/rice_brown_spot/IMG_4906.jpg</t>
  </si>
  <si>
    <t xml:space="preserve">data/processed/test/rice_brown_spot/IMG_5486.jpg</t>
  </si>
  <si>
    <t xml:space="preserve">data/processed/test/rice_brown_spot/bs_wb_50.jpg</t>
  </si>
  <si>
    <t xml:space="preserve">data/processed/test/rice_brown_spot/new_rice_brown_spot_train_00001.jpg</t>
  </si>
  <si>
    <t xml:space="preserve">data/processed/test/rice_brown_spot/new_rice_brown_spot_train_00129.jpg</t>
  </si>
  <si>
    <t xml:space="preserve">data/processed/test/rice_brown_spot/new_rice_brown_spot_train_00449.jpg</t>
  </si>
  <si>
    <t xml:space="preserve">data/processed/test/rice_healthy/IMG_20190419_100522.jpg</t>
  </si>
  <si>
    <t xml:space="preserve">data/processed/test/rice_healthy/IMG_20190419_112003.jpg</t>
  </si>
  <si>
    <t xml:space="preserve">data/processed/test/rice_healthy/IMG_20190419_170344.jpg</t>
  </si>
  <si>
    <t xml:space="preserve">data/processed/test/rice_healthy/IMG_20190420_194316.jpg</t>
  </si>
  <si>
    <t xml:space="preserve">data/processed/test/rice_healthy/IMG_20190424_132012.jpg</t>
  </si>
  <si>
    <t xml:space="preserve">data/processed/test/rice_healthy/new_rice_healthy_train_00167.jpg</t>
  </si>
  <si>
    <t xml:space="preserve">data/processed/test/rice_leaf_blast/IMG_20190419_100614.jpg</t>
  </si>
  <si>
    <t xml:space="preserve">data/processed/test/rice_leaf_blast/IMG_20190419_111106.jpg</t>
  </si>
  <si>
    <t xml:space="preserve">data/processed/test/rice_leaf_blast/IMG_20190419_111313.jpg</t>
  </si>
  <si>
    <t xml:space="preserve">data/processed/test/rice_leaf_blast/IMG_20190419_112200.jpg</t>
  </si>
  <si>
    <t xml:space="preserve">data/processed/test/rice_leaf_blast/IMG_20190419_112300.jpg</t>
  </si>
  <si>
    <t xml:space="preserve">data/processed/test/rice_leaf_blast/IMG_20190419_112829.jpg</t>
  </si>
  <si>
    <t xml:space="preserve">data/processed/test/rice_leaf_blast/IMG_20190419_114455.jpg</t>
  </si>
  <si>
    <t xml:space="preserve">data/processed/test/rice_leaf_blast/IMG_20190419_114644.jpg</t>
  </si>
  <si>
    <t xml:space="preserve">data/processed/test/rice_leaf_blast/IMG_20190419_114701.jpg</t>
  </si>
  <si>
    <t xml:space="preserve">data/processed/test/rice_leaf_blast/IMG_20190419_132301.jpg</t>
  </si>
  <si>
    <t xml:space="preserve">data/processed/test/rice_leaf_blast/IMG_20190419_135050.jpg</t>
  </si>
  <si>
    <t xml:space="preserve">data/processed/test/rice_leaf_blast/IMG_20190419_161449.jpg</t>
  </si>
  <si>
    <t xml:space="preserve">data/processed/test/rice_leaf_blast/IMG_20190419_161517.jpg</t>
  </si>
  <si>
    <t xml:space="preserve">data/processed/test/rice_leaf_blast/IMG_20190419_161534.jpg</t>
  </si>
  <si>
    <t xml:space="preserve">data/processed/test/rice_leaf_blast/IMG_20190420_193127.jpg</t>
  </si>
  <si>
    <t xml:space="preserve">data/processed/test/rice_leaf_blast/IMG_20190420_193657.jpg</t>
  </si>
  <si>
    <t xml:space="preserve">data/processed/test/rice_leaf_blast/IMG_3204.jpg</t>
  </si>
  <si>
    <t xml:space="preserve">data/processed/test/rice_leaf_blast/IMG_4855.jpg</t>
  </si>
  <si>
    <t xml:space="preserve">data/processed/test/rice_leaf_blast/IMG_5493.jpg</t>
  </si>
  <si>
    <t xml:space="preserve">data/processed/test/rice_leaf_blast/new_rice_leaf_blast_train_00155.jpg</t>
  </si>
  <si>
    <t xml:space="preserve">data/processed/test/rice_leaf_blast/new_rice_leaf_blast_train_00229.jpg</t>
  </si>
  <si>
    <t xml:space="preserve">data/processed/test/rice_leaf_blast/new_rice_leaf_blast_train_00249.jpg</t>
  </si>
  <si>
    <t xml:space="preserve">data/processed/test/rice_leaf_blast/new_rice_leaf_blast_train_00280.jpg</t>
  </si>
  <si>
    <t xml:space="preserve">data/processed/test/rice_leaf_blast/new_rice_leaf_blast_train_00367.jpg</t>
  </si>
  <si>
    <t xml:space="preserve">data/processed/test/rice_leaf_blast/new_rice_leaf_blast_train_00475.jpg</t>
  </si>
  <si>
    <t xml:space="preserve">data/processed/test/rice_leaf_blast/new_rice_leaf_blast_train_00502.jpg</t>
  </si>
  <si>
    <t xml:space="preserve">data/processed/test/rice_leaf_blast/new_rice_leaf_blast_train_00754.jpg</t>
  </si>
  <si>
    <t xml:space="preserve">data/processed/test/rice_leaf_blast/new_rice_leaf_blast_val_00027.jpg</t>
  </si>
  <si>
    <t xml:space="preserve">data/processed/test/rice_leaf_blast/new_rice_leaf_blast_val_00098.jpg</t>
  </si>
  <si>
    <t xml:space="preserve">data/processed/test/rice_leaf_blast/new_rice_leaf_blast_val_00156.jpg</t>
  </si>
  <si>
    <t xml:space="preserve">data/processed/test/rice_leaf_blast/new_rice_leaf_blast_val_00189.jpg</t>
  </si>
  <si>
    <t xml:space="preserve">data/processed/test/rice_leaf_blast/rb_wb_123.jpg</t>
  </si>
  <si>
    <t xml:space="preserve">data/processed/test/rice_leaf_blast/rb_wb_21.jpg</t>
  </si>
  <si>
    <t xml:space="preserve">data/processed/test/rice_neck_blast/IMG20201109181251_00.jpg</t>
  </si>
  <si>
    <t xml:space="preserve">data/processed/test/wheat_brown_rust/Brown_rust116.jpg</t>
  </si>
  <si>
    <t xml:space="preserve">data/processed/test/wheat_brown_rust/Brown_rust517.jpg</t>
  </si>
  <si>
    <t xml:space="preserve">data/processed/test/wheat_healthy/Healthy125.jpg</t>
  </si>
  <si>
    <t xml:space="preserve">data/processed/test/wheat_yellow_rust/Yellow_rust1155.jpg</t>
  </si>
  <si>
    <t xml:space="preserve">data/processed/test/wheat_yellow_rust/Yellow_rust1157.jpg</t>
  </si>
  <si>
    <t xml:space="preserve">data/processed/test/wheat_yellow_rust/Yellow_rust1158.jpg</t>
  </si>
  <si>
    <t xml:space="preserve">data/processed/test/wheat_yellow_rust/Yellow_rust906.jpg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</si>
</sst>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000"/>
    <numFmt numFmtId="167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FFF2CC"/>
        </patternFill>
      </fill>
    </dxf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3"/>
    <col collapsed="false" customWidth="true" hidden="false" outlineLevel="0" max="4" min="3" style="0" width="14"/>
    <col collapsed="false" customWidth="true" hidden="false" outlineLevel="0" max="7" min="5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5" t="n">
        <f aca="false">INDEX('Confusion Matrix'!$B$5:$O$18,1,1)</f>
        <v>57</v>
      </c>
      <c r="C5" s="5" t="n">
        <f aca="false">SUM('Confusion Matrix'!$B$5:$O$5)</f>
        <v>57</v>
      </c>
      <c r="D5" s="5" t="n">
        <f aca="false">SUM('Confusion Matrix'!$B$5:$B$18)</f>
        <v>57</v>
      </c>
      <c r="E5" s="6" t="n">
        <f aca="false">IF(D5=0,0,B5/D5)</f>
        <v>1</v>
      </c>
      <c r="F5" s="6" t="n">
        <f aca="false">IF(C5=0,0,B5/C5)</f>
        <v>1</v>
      </c>
      <c r="G5" s="6" t="n">
        <f aca="false">IF(E5+F5=0,0,2*E5*F5/(E5+F5))</f>
        <v>1</v>
      </c>
    </row>
    <row r="6" customFormat="false" ht="15" hidden="false" customHeight="false" outlineLevel="0" collapsed="false">
      <c r="A6" s="4" t="s">
        <v>10</v>
      </c>
      <c r="B6" s="5" t="n">
        <f aca="false">INDEX('Confusion Matrix'!$B$5:$O$18,2,2)</f>
        <v>70</v>
      </c>
      <c r="C6" s="5" t="n">
        <f aca="false">SUM('Confusion Matrix'!$B$6:$O$6)</f>
        <v>77</v>
      </c>
      <c r="D6" s="5" t="n">
        <f aca="false">SUM('Confusion Matrix'!$C$5:$C$18)</f>
        <v>71</v>
      </c>
      <c r="E6" s="6" t="n">
        <f aca="false">IF(D6=0,0,B6/D6)</f>
        <v>0.985915492957747</v>
      </c>
      <c r="F6" s="6" t="n">
        <f aca="false">IF(C6=0,0,B6/C6)</f>
        <v>0.909090909090909</v>
      </c>
      <c r="G6" s="6" t="n">
        <f aca="false">IF(E6+F6=0,0,2*E6*F6/(E6+F6))</f>
        <v>0.945945945945946</v>
      </c>
    </row>
    <row r="7" customFormat="false" ht="15" hidden="false" customHeight="false" outlineLevel="0" collapsed="false">
      <c r="A7" s="4" t="s">
        <v>11</v>
      </c>
      <c r="B7" s="5" t="n">
        <f aca="false">INDEX('Confusion Matrix'!$B$5:$O$18,3,3)</f>
        <v>88</v>
      </c>
      <c r="C7" s="5" t="n">
        <f aca="false">SUM('Confusion Matrix'!$B$7:$O$7)</f>
        <v>88</v>
      </c>
      <c r="D7" s="5" t="n">
        <f aca="false">SUM('Confusion Matrix'!$D$5:$D$18)</f>
        <v>90</v>
      </c>
      <c r="E7" s="6" t="n">
        <f aca="false">IF(D7=0,0,B7/D7)</f>
        <v>0.977777777777778</v>
      </c>
      <c r="F7" s="6" t="n">
        <f aca="false">IF(C7=0,0,B7/C7)</f>
        <v>1</v>
      </c>
      <c r="G7" s="6" t="n">
        <f aca="false">IF(E7+F7=0,0,2*E7*F7/(E7+F7))</f>
        <v>0.98876404494382</v>
      </c>
    </row>
    <row r="8" customFormat="false" ht="15" hidden="false" customHeight="false" outlineLevel="0" collapsed="false">
      <c r="A8" s="4" t="s">
        <v>12</v>
      </c>
      <c r="B8" s="5" t="n">
        <f aca="false">INDEX('Confusion Matrix'!$B$5:$O$18,4,4)</f>
        <v>44</v>
      </c>
      <c r="C8" s="5" t="n">
        <f aca="false">SUM('Confusion Matrix'!$B$8:$O$8)</f>
        <v>45</v>
      </c>
      <c r="D8" s="5" t="n">
        <f aca="false">SUM('Confusion Matrix'!$E$5:$E$18)</f>
        <v>52</v>
      </c>
      <c r="E8" s="6" t="n">
        <f aca="false">IF(D8=0,0,B8/D8)</f>
        <v>0.846153846153846</v>
      </c>
      <c r="F8" s="6" t="n">
        <f aca="false">IF(C8=0,0,B8/C8)</f>
        <v>0.977777777777778</v>
      </c>
      <c r="G8" s="6" t="n">
        <f aca="false">IF(E8+F8=0,0,2*E8*F8/(E8+F8))</f>
        <v>0.907216494845361</v>
      </c>
    </row>
    <row r="9" customFormat="false" ht="15" hidden="false" customHeight="false" outlineLevel="0" collapsed="false">
      <c r="A9" s="4" t="s">
        <v>13</v>
      </c>
      <c r="B9" s="5" t="n">
        <f aca="false">INDEX('Confusion Matrix'!$B$5:$O$18,5,5)</f>
        <v>211</v>
      </c>
      <c r="C9" s="5" t="n">
        <f aca="false">SUM('Confusion Matrix'!$B$9:$O$9)</f>
        <v>211</v>
      </c>
      <c r="D9" s="5" t="n">
        <f aca="false">SUM('Confusion Matrix'!$F$5:$F$18)</f>
        <v>211</v>
      </c>
      <c r="E9" s="6" t="n">
        <f aca="false">IF(D9=0,0,B9/D9)</f>
        <v>1</v>
      </c>
      <c r="F9" s="6" t="n">
        <f aca="false">IF(C9=0,0,B9/C9)</f>
        <v>1</v>
      </c>
      <c r="G9" s="6" t="n">
        <f aca="false">IF(E9+F9=0,0,2*E9*F9/(E9+F9))</f>
        <v>1</v>
      </c>
    </row>
    <row r="10" customFormat="false" ht="15" hidden="false" customHeight="false" outlineLevel="0" collapsed="false">
      <c r="A10" s="4" t="s">
        <v>14</v>
      </c>
      <c r="B10" s="5" t="n">
        <f aca="false">INDEX('Confusion Matrix'!$B$5:$O$18,6,6)</f>
        <v>129</v>
      </c>
      <c r="C10" s="5" t="n">
        <f aca="false">SUM('Confusion Matrix'!$B$10:$O$10)</f>
        <v>129</v>
      </c>
      <c r="D10" s="5" t="n">
        <f aca="false">SUM('Confusion Matrix'!$G$5:$G$18)</f>
        <v>131</v>
      </c>
      <c r="E10" s="6" t="n">
        <f aca="false">IF(D10=0,0,B10/D10)</f>
        <v>0.984732824427481</v>
      </c>
      <c r="F10" s="6" t="n">
        <f aca="false">IF(C10=0,0,B10/C10)</f>
        <v>1</v>
      </c>
      <c r="G10" s="6" t="n">
        <f aca="false">IF(E10+F10=0,0,2*E10*F10/(E10+F10))</f>
        <v>0.992307692307692</v>
      </c>
    </row>
    <row r="11" customFormat="false" ht="15" hidden="false" customHeight="false" outlineLevel="0" collapsed="false">
      <c r="A11" s="4" t="s">
        <v>15</v>
      </c>
      <c r="B11" s="5" t="n">
        <f aca="false">INDEX('Confusion Matrix'!$B$5:$O$18,7,7)</f>
        <v>196</v>
      </c>
      <c r="C11" s="5" t="n">
        <f aca="false">SUM('Confusion Matrix'!$B$11:$O$11)</f>
        <v>198</v>
      </c>
      <c r="D11" s="5" t="n">
        <f aca="false">SUM('Confusion Matrix'!$H$5:$H$18)</f>
        <v>196</v>
      </c>
      <c r="E11" s="6" t="n">
        <f aca="false">IF(D11=0,0,B11/D11)</f>
        <v>1</v>
      </c>
      <c r="F11" s="6" t="n">
        <f aca="false">IF(C11=0,0,B11/C11)</f>
        <v>0.98989898989899</v>
      </c>
      <c r="G11" s="6" t="n">
        <f aca="false">IF(E11+F11=0,0,2*E11*F11/(E11+F11))</f>
        <v>0.99492385786802</v>
      </c>
    </row>
    <row r="12" customFormat="false" ht="15" hidden="false" customHeight="false" outlineLevel="0" collapsed="false">
      <c r="A12" s="4" t="s">
        <v>16</v>
      </c>
      <c r="B12" s="5" t="n">
        <f aca="false">INDEX('Confusion Matrix'!$B$5:$O$18,8,8)</f>
        <v>73</v>
      </c>
      <c r="C12" s="5" t="n">
        <f aca="false">SUM('Confusion Matrix'!$B$12:$O$12)</f>
        <v>92</v>
      </c>
      <c r="D12" s="5" t="n">
        <f aca="false">SUM('Confusion Matrix'!$I$5:$I$18)</f>
        <v>90</v>
      </c>
      <c r="E12" s="6" t="n">
        <f aca="false">IF(D12=0,0,B12/D12)</f>
        <v>0.811111111111111</v>
      </c>
      <c r="F12" s="6" t="n">
        <f aca="false">IF(C12=0,0,B12/C12)</f>
        <v>0.793478260869565</v>
      </c>
      <c r="G12" s="6" t="n">
        <f aca="false">IF(E12+F12=0,0,2*E12*F12/(E12+F12))</f>
        <v>0.802197802197802</v>
      </c>
    </row>
    <row r="13" customFormat="false" ht="15" hidden="false" customHeight="false" outlineLevel="0" collapsed="false">
      <c r="A13" s="4" t="s">
        <v>17</v>
      </c>
      <c r="B13" s="5" t="n">
        <f aca="false">INDEX('Confusion Matrix'!$B$5:$O$18,9,9)</f>
        <v>162</v>
      </c>
      <c r="C13" s="5" t="n">
        <f aca="false">SUM('Confusion Matrix'!$B$13:$O$13)</f>
        <v>168</v>
      </c>
      <c r="D13" s="5" t="n">
        <f aca="false">SUM('Confusion Matrix'!$J$5:$J$18)</f>
        <v>190</v>
      </c>
      <c r="E13" s="6" t="n">
        <f aca="false">IF(D13=0,0,B13/D13)</f>
        <v>0.852631578947368</v>
      </c>
      <c r="F13" s="6" t="n">
        <f aca="false">IF(C13=0,0,B13/C13)</f>
        <v>0.964285714285714</v>
      </c>
      <c r="G13" s="6" t="n">
        <f aca="false">IF(E13+F13=0,0,2*E13*F13/(E13+F13))</f>
        <v>0.905027932960894</v>
      </c>
    </row>
    <row r="14" customFormat="false" ht="15" hidden="false" customHeight="false" outlineLevel="0" collapsed="false">
      <c r="A14" s="4" t="s">
        <v>18</v>
      </c>
      <c r="B14" s="5" t="n">
        <f aca="false">INDEX('Confusion Matrix'!$B$5:$O$18,10,10)</f>
        <v>106</v>
      </c>
      <c r="C14" s="5" t="n">
        <f aca="false">SUM('Confusion Matrix'!$B$14:$O$14)</f>
        <v>139</v>
      </c>
      <c r="D14" s="5" t="n">
        <f aca="false">SUM('Confusion Matrix'!$K$5:$K$18)</f>
        <v>120</v>
      </c>
      <c r="E14" s="6" t="n">
        <f aca="false">IF(D14=0,0,B14/D14)</f>
        <v>0.883333333333333</v>
      </c>
      <c r="F14" s="6" t="n">
        <f aca="false">IF(C14=0,0,B14/C14)</f>
        <v>0.762589928057554</v>
      </c>
      <c r="G14" s="6" t="n">
        <f aca="false">IF(E14+F14=0,0,2*E14*F14/(E14+F14))</f>
        <v>0.818532818532819</v>
      </c>
    </row>
    <row r="15" customFormat="false" ht="15" hidden="false" customHeight="false" outlineLevel="0" collapsed="false">
      <c r="A15" s="4" t="s">
        <v>19</v>
      </c>
      <c r="B15" s="5" t="n">
        <f aca="false">INDEX('Confusion Matrix'!$B$5:$O$18,11,11)</f>
        <v>136</v>
      </c>
      <c r="C15" s="5" t="n">
        <f aca="false">SUM('Confusion Matrix'!$B$15:$O$15)</f>
        <v>137</v>
      </c>
      <c r="D15" s="5" t="n">
        <f aca="false">SUM('Confusion Matrix'!$L$5:$L$18)</f>
        <v>136</v>
      </c>
      <c r="E15" s="6" t="n">
        <f aca="false">IF(D15=0,0,B15/D15)</f>
        <v>1</v>
      </c>
      <c r="F15" s="6" t="n">
        <f aca="false">IF(C15=0,0,B15/C15)</f>
        <v>0.992700729927007</v>
      </c>
      <c r="G15" s="6" t="n">
        <f aca="false">IF(E15+F15=0,0,2*E15*F15/(E15+F15))</f>
        <v>0.996336996336996</v>
      </c>
    </row>
    <row r="16" customFormat="false" ht="15" hidden="false" customHeight="false" outlineLevel="0" collapsed="false">
      <c r="A16" s="4" t="s">
        <v>20</v>
      </c>
      <c r="B16" s="5" t="n">
        <f aca="false">INDEX('Confusion Matrix'!$B$5:$O$18,12,12)</f>
        <v>131</v>
      </c>
      <c r="C16" s="5" t="n">
        <f aca="false">SUM('Confusion Matrix'!$B$16:$O$16)</f>
        <v>133</v>
      </c>
      <c r="D16" s="5" t="n">
        <f aca="false">SUM('Confusion Matrix'!$M$5:$M$18)</f>
        <v>134</v>
      </c>
      <c r="E16" s="6" t="n">
        <f aca="false">IF(D16=0,0,B16/D16)</f>
        <v>0.977611940298508</v>
      </c>
      <c r="F16" s="6" t="n">
        <f aca="false">IF(C16=0,0,B16/C16)</f>
        <v>0.984962406015038</v>
      </c>
      <c r="G16" s="6" t="n">
        <f aca="false">IF(E16+F16=0,0,2*E16*F16/(E16+F16))</f>
        <v>0.9812734082397</v>
      </c>
    </row>
    <row r="17" customFormat="false" ht="15" hidden="false" customHeight="false" outlineLevel="0" collapsed="false">
      <c r="A17" s="4" t="s">
        <v>21</v>
      </c>
      <c r="B17" s="5" t="n">
        <f aca="false">INDEX('Confusion Matrix'!$B$5:$O$18,13,13)</f>
        <v>166</v>
      </c>
      <c r="C17" s="5" t="n">
        <f aca="false">SUM('Confusion Matrix'!$B$17:$O$17)</f>
        <v>167</v>
      </c>
      <c r="D17" s="5" t="n">
        <f aca="false">SUM('Confusion Matrix'!$N$5:$N$18)</f>
        <v>166</v>
      </c>
      <c r="E17" s="6" t="n">
        <f aca="false">IF(D17=0,0,B17/D17)</f>
        <v>1</v>
      </c>
      <c r="F17" s="6" t="n">
        <f aca="false">IF(C17=0,0,B17/C17)</f>
        <v>0.994011976047904</v>
      </c>
      <c r="G17" s="6" t="n">
        <f aca="false">IF(E17+F17=0,0,2*E17*F17/(E17+F17))</f>
        <v>0.996996996996997</v>
      </c>
    </row>
    <row r="18" customFormat="false" ht="15" hidden="false" customHeight="false" outlineLevel="0" collapsed="false">
      <c r="A18" s="4" t="s">
        <v>22</v>
      </c>
      <c r="B18" s="5" t="n">
        <f aca="false">INDEX('Confusion Matrix'!$B$5:$O$18,14,14)</f>
        <v>134</v>
      </c>
      <c r="C18" s="5" t="n">
        <f aca="false">SUM('Confusion Matrix'!$B$18:$O$18)</f>
        <v>138</v>
      </c>
      <c r="D18" s="5" t="n">
        <f aca="false">SUM('Confusion Matrix'!$O$5:$O$18)</f>
        <v>135</v>
      </c>
      <c r="E18" s="6" t="n">
        <f aca="false">IF(D18=0,0,B18/D18)</f>
        <v>0.992592592592593</v>
      </c>
      <c r="F18" s="6" t="n">
        <f aca="false">IF(C18=0,0,B18/C18)</f>
        <v>0.971014492753623</v>
      </c>
      <c r="G18" s="6" t="n">
        <f aca="false">IF(E18+F18=0,0,2*E18*F18/(E18+F18))</f>
        <v>0.981684981684982</v>
      </c>
    </row>
    <row r="20" customFormat="false" ht="15" hidden="false" customHeight="false" outlineLevel="0" collapsed="false">
      <c r="A20" s="3" t="s">
        <v>23</v>
      </c>
      <c r="B20" s="3"/>
      <c r="C20" s="3" t="s">
        <v>24</v>
      </c>
      <c r="D20" s="3"/>
      <c r="E20" s="3" t="s">
        <v>6</v>
      </c>
      <c r="F20" s="3" t="s">
        <v>7</v>
      </c>
      <c r="G20" s="3" t="s">
        <v>8</v>
      </c>
    </row>
    <row r="21" customFormat="false" ht="15" hidden="false" customHeight="false" outlineLevel="0" collapsed="false">
      <c r="A21" s="4" t="s">
        <v>25</v>
      </c>
      <c r="B21" s="7"/>
      <c r="C21" s="7" t="n">
        <f aca="false">SUM(C5:C18)</f>
        <v>1779</v>
      </c>
      <c r="D21" s="7"/>
      <c r="E21" s="6" t="n">
        <f aca="false">SUM(B5:B18)/SUM(C5:C18)</f>
        <v>0.957279370432827</v>
      </c>
      <c r="F21" s="6"/>
      <c r="G21" s="6"/>
    </row>
    <row r="22" customFormat="false" ht="15" hidden="false" customHeight="false" outlineLevel="0" collapsed="false">
      <c r="A22" s="4" t="s">
        <v>26</v>
      </c>
      <c r="B22" s="7"/>
      <c r="C22" s="7" t="n">
        <f aca="false">SUM(C5:C18)</f>
        <v>1779</v>
      </c>
      <c r="D22" s="7"/>
      <c r="E22" s="6" t="n">
        <f aca="false">AVERAGE(E5:E18)</f>
        <v>0.950847178399983</v>
      </c>
      <c r="F22" s="6" t="n">
        <f aca="false">AVERAGE(F5:F18)</f>
        <v>0.95284365605172</v>
      </c>
      <c r="G22" s="8" t="n">
        <f aca="false">AVERAGE(G5:G18)</f>
        <v>0.950800640918645</v>
      </c>
    </row>
    <row r="23" customFormat="false" ht="15" hidden="false" customHeight="false" outlineLevel="0" collapsed="false">
      <c r="A23" s="4" t="s">
        <v>27</v>
      </c>
      <c r="B23" s="7"/>
      <c r="C23" s="7" t="n">
        <f aca="false">SUM(C5:C18)</f>
        <v>1779</v>
      </c>
      <c r="D23" s="7"/>
      <c r="E23" s="6" t="n">
        <f aca="false">SUMPRODUCT(E5:E18,C5:C18)/SUM(C5:C18)</f>
        <v>0.958243519666359</v>
      </c>
      <c r="F23" s="6" t="n">
        <f aca="false">SUMPRODUCT(F5:F18,C5:C18)/SUM(C5:C18)</f>
        <v>0.957279370432827</v>
      </c>
      <c r="G23" s="6" t="n">
        <f aca="false">SUMPRODUCT(G5:G18,C5:C18)/SUM(C5:C18)</f>
        <v>0.956873492022069</v>
      </c>
    </row>
    <row r="24" customFormat="false" ht="15" hidden="false" customHeight="false" outlineLevel="0" collapsed="false">
      <c r="A24" s="2" t="s">
        <v>28</v>
      </c>
    </row>
  </sheetData>
  <conditionalFormatting sqref="A5:G18">
    <cfRule type="expression" priority="2" aboveAverage="0" equalAverage="0" bottom="0" percent="0" rank="0" text="" dxfId="0">
      <formula>$G5&lt;0.9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8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52"/>
  </cols>
  <sheetData>
    <row r="1" customFormat="false" ht="17.35" hidden="false" customHeight="false" outlineLevel="0" collapsed="false">
      <c r="A1" s="1" t="s">
        <v>29</v>
      </c>
    </row>
    <row r="2" customFormat="false" ht="15" hidden="false" customHeight="false" outlineLevel="0" collapsed="false">
      <c r="A2" s="2" t="s">
        <v>30</v>
      </c>
    </row>
    <row r="4" customFormat="false" ht="23.85" hidden="false" customHeight="false" outlineLevel="0" collapsed="false">
      <c r="A4" s="3" t="s">
        <v>31</v>
      </c>
      <c r="B4" s="3" t="s">
        <v>32</v>
      </c>
      <c r="C4" s="3" t="s">
        <v>33</v>
      </c>
      <c r="D4" s="3" t="s">
        <v>34</v>
      </c>
      <c r="E4" s="3" t="s">
        <v>35</v>
      </c>
    </row>
    <row r="5" customFormat="false" ht="15" hidden="false" customHeight="false" outlineLevel="0" collapsed="false">
      <c r="A5" s="9" t="s">
        <v>18</v>
      </c>
      <c r="B5" s="9" t="s">
        <v>17</v>
      </c>
      <c r="C5" s="9" t="n">
        <f aca="false">COUNTIFS('Misclassified Images'!$B$5:$B$80,A5,'Misclassified Images'!$C$5:$C$80,B5)</f>
        <v>20</v>
      </c>
      <c r="D5" s="10" t="n">
        <f aca="false">C5/$C$20</f>
        <v>0.263157894736842</v>
      </c>
      <c r="E5" s="9" t="s">
        <v>36</v>
      </c>
    </row>
    <row r="6" customFormat="false" ht="15" hidden="false" customHeight="false" outlineLevel="0" collapsed="false">
      <c r="A6" s="11" t="s">
        <v>18</v>
      </c>
      <c r="B6" s="11" t="s">
        <v>16</v>
      </c>
      <c r="C6" s="11" t="n">
        <f aca="false">COUNTIFS('Misclassified Images'!$B$5:$B$80,A6,'Misclassified Images'!$C$5:$C$80,B6)</f>
        <v>13</v>
      </c>
      <c r="D6" s="12" t="n">
        <f aca="false">C6/$C$20</f>
        <v>0.171052631578947</v>
      </c>
      <c r="E6" s="11" t="s">
        <v>37</v>
      </c>
    </row>
    <row r="7" customFormat="false" ht="15" hidden="false" customHeight="false" outlineLevel="0" collapsed="false">
      <c r="A7" s="11" t="s">
        <v>16</v>
      </c>
      <c r="B7" s="11" t="s">
        <v>18</v>
      </c>
      <c r="C7" s="11" t="n">
        <f aca="false">COUNTIFS('Misclassified Images'!$B$5:$B$80,A7,'Misclassified Images'!$C$5:$C$80,B7)</f>
        <v>11</v>
      </c>
      <c r="D7" s="12" t="n">
        <f aca="false">C7/$C$20</f>
        <v>0.144736842105263</v>
      </c>
      <c r="E7" s="11" t="s">
        <v>37</v>
      </c>
    </row>
    <row r="8" customFormat="false" ht="15" hidden="false" customHeight="false" outlineLevel="0" collapsed="false">
      <c r="A8" s="9" t="s">
        <v>16</v>
      </c>
      <c r="B8" s="9" t="s">
        <v>17</v>
      </c>
      <c r="C8" s="9" t="n">
        <f aca="false">COUNTIFS('Misclassified Images'!$B$5:$B$80,A8,'Misclassified Images'!$C$5:$C$80,B8)</f>
        <v>8</v>
      </c>
      <c r="D8" s="10" t="n">
        <f aca="false">C8/$C$20</f>
        <v>0.105263157894737</v>
      </c>
      <c r="E8" s="9" t="s">
        <v>36</v>
      </c>
    </row>
    <row r="9" customFormat="false" ht="15" hidden="false" customHeight="false" outlineLevel="0" collapsed="false">
      <c r="A9" s="11" t="s">
        <v>10</v>
      </c>
      <c r="B9" s="11" t="s">
        <v>12</v>
      </c>
      <c r="C9" s="11" t="n">
        <f aca="false">COUNTIFS('Misclassified Images'!$B$5:$B$80,A9,'Misclassified Images'!$C$5:$C$80,B9)</f>
        <v>7</v>
      </c>
      <c r="D9" s="12" t="n">
        <f aca="false">C9/$C$20</f>
        <v>0.0921052631578947</v>
      </c>
      <c r="E9" s="11" t="s">
        <v>38</v>
      </c>
    </row>
    <row r="10" customFormat="false" ht="15" hidden="false" customHeight="false" outlineLevel="0" collapsed="false">
      <c r="A10" s="11" t="s">
        <v>17</v>
      </c>
      <c r="B10" s="11" t="s">
        <v>16</v>
      </c>
      <c r="C10" s="11" t="n">
        <f aca="false">COUNTIFS('Misclassified Images'!$B$5:$B$80,A10,'Misclassified Images'!$C$5:$C$80,B10)</f>
        <v>3</v>
      </c>
      <c r="D10" s="12" t="n">
        <f aca="false">C10/$C$20</f>
        <v>0.0394736842105263</v>
      </c>
      <c r="E10" s="11"/>
    </row>
    <row r="11" customFormat="false" ht="15" hidden="false" customHeight="false" outlineLevel="0" collapsed="false">
      <c r="A11" s="11" t="s">
        <v>17</v>
      </c>
      <c r="B11" s="11" t="s">
        <v>18</v>
      </c>
      <c r="C11" s="11" t="n">
        <f aca="false">COUNTIFS('Misclassified Images'!$B$5:$B$80,A11,'Misclassified Images'!$C$5:$C$80,B11)</f>
        <v>3</v>
      </c>
      <c r="D11" s="12" t="n">
        <f aca="false">C11/$C$20</f>
        <v>0.0394736842105263</v>
      </c>
      <c r="E11" s="11"/>
    </row>
    <row r="12" customFormat="false" ht="15" hidden="false" customHeight="false" outlineLevel="0" collapsed="false">
      <c r="A12" s="11" t="s">
        <v>22</v>
      </c>
      <c r="B12" s="11" t="s">
        <v>20</v>
      </c>
      <c r="C12" s="11" t="n">
        <f aca="false">COUNTIFS('Misclassified Images'!$B$5:$B$80,A12,'Misclassified Images'!$C$5:$C$80,B12)</f>
        <v>3</v>
      </c>
      <c r="D12" s="12" t="n">
        <f aca="false">C12/$C$20</f>
        <v>0.0394736842105263</v>
      </c>
      <c r="E12" s="11"/>
    </row>
    <row r="13" customFormat="false" ht="15" hidden="false" customHeight="false" outlineLevel="0" collapsed="false">
      <c r="A13" s="9" t="s">
        <v>15</v>
      </c>
      <c r="B13" s="9" t="s">
        <v>14</v>
      </c>
      <c r="C13" s="9" t="n">
        <f aca="false">COUNTIFS('Misclassified Images'!$B$5:$B$80,A13,'Misclassified Images'!$C$5:$C$80,B13)</f>
        <v>2</v>
      </c>
      <c r="D13" s="10" t="n">
        <f aca="false">C13/$C$20</f>
        <v>0.0263157894736842</v>
      </c>
      <c r="E13" s="9" t="s">
        <v>36</v>
      </c>
    </row>
    <row r="14" customFormat="false" ht="15" hidden="false" customHeight="false" outlineLevel="0" collapsed="false">
      <c r="A14" s="11" t="s">
        <v>12</v>
      </c>
      <c r="B14" s="11" t="s">
        <v>10</v>
      </c>
      <c r="C14" s="11" t="n">
        <f aca="false">COUNTIFS('Misclassified Images'!$B$5:$B$80,A14,'Misclassified Images'!$C$5:$C$80,B14)</f>
        <v>1</v>
      </c>
      <c r="D14" s="12" t="n">
        <f aca="false">C14/$C$20</f>
        <v>0.0131578947368421</v>
      </c>
      <c r="E14" s="11"/>
    </row>
    <row r="15" customFormat="false" ht="15" hidden="false" customHeight="false" outlineLevel="0" collapsed="false">
      <c r="A15" s="11" t="s">
        <v>19</v>
      </c>
      <c r="B15" s="11" t="s">
        <v>16</v>
      </c>
      <c r="C15" s="11" t="n">
        <f aca="false">COUNTIFS('Misclassified Images'!$B$5:$B$80,A15,'Misclassified Images'!$C$5:$C$80,B15)</f>
        <v>1</v>
      </c>
      <c r="D15" s="12" t="n">
        <f aca="false">C15/$C$20</f>
        <v>0.0131578947368421</v>
      </c>
      <c r="E15" s="11"/>
    </row>
    <row r="16" customFormat="false" ht="15" hidden="false" customHeight="false" outlineLevel="0" collapsed="false">
      <c r="A16" s="9" t="s">
        <v>20</v>
      </c>
      <c r="B16" s="9" t="s">
        <v>11</v>
      </c>
      <c r="C16" s="9" t="n">
        <f aca="false">COUNTIFS('Misclassified Images'!$B$5:$B$80,A16,'Misclassified Images'!$C$5:$C$80,B16)</f>
        <v>1</v>
      </c>
      <c r="D16" s="10" t="n">
        <f aca="false">C16/$C$20</f>
        <v>0.0131578947368421</v>
      </c>
      <c r="E16" s="9" t="s">
        <v>39</v>
      </c>
    </row>
    <row r="17" customFormat="false" ht="15" hidden="false" customHeight="false" outlineLevel="0" collapsed="false">
      <c r="A17" s="11" t="s">
        <v>20</v>
      </c>
      <c r="B17" s="11" t="s">
        <v>22</v>
      </c>
      <c r="C17" s="11" t="n">
        <f aca="false">COUNTIFS('Misclassified Images'!$B$5:$B$80,A17,'Misclassified Images'!$C$5:$C$80,B17)</f>
        <v>1</v>
      </c>
      <c r="D17" s="12" t="n">
        <f aca="false">C17/$C$20</f>
        <v>0.0131578947368421</v>
      </c>
      <c r="E17" s="11"/>
    </row>
    <row r="18" customFormat="false" ht="15" hidden="false" customHeight="false" outlineLevel="0" collapsed="false">
      <c r="A18" s="11" t="s">
        <v>21</v>
      </c>
      <c r="B18" s="11" t="s">
        <v>12</v>
      </c>
      <c r="C18" s="11" t="n">
        <f aca="false">COUNTIFS('Misclassified Images'!$B$5:$B$80,A18,'Misclassified Images'!$C$5:$C$80,B18)</f>
        <v>1</v>
      </c>
      <c r="D18" s="12" t="n">
        <f aca="false">C18/$C$20</f>
        <v>0.0131578947368421</v>
      </c>
      <c r="E18" s="11" t="s">
        <v>39</v>
      </c>
    </row>
    <row r="19" customFormat="false" ht="15" hidden="false" customHeight="false" outlineLevel="0" collapsed="false">
      <c r="A19" s="9" t="s">
        <v>22</v>
      </c>
      <c r="B19" s="9" t="s">
        <v>11</v>
      </c>
      <c r="C19" s="9" t="n">
        <f aca="false">COUNTIFS('Misclassified Images'!$B$5:$B$80,A19,'Misclassified Images'!$C$5:$C$80,B19)</f>
        <v>1</v>
      </c>
      <c r="D19" s="10" t="n">
        <f aca="false">C19/$C$20</f>
        <v>0.0131578947368421</v>
      </c>
      <c r="E19" s="9" t="s">
        <v>39</v>
      </c>
    </row>
    <row r="20" customFormat="false" ht="15" hidden="false" customHeight="false" outlineLevel="0" collapsed="false">
      <c r="A20" s="4" t="s">
        <v>40</v>
      </c>
      <c r="B20" s="13"/>
      <c r="C20" s="4" t="n">
        <f aca="false">SUM(C5:C19)</f>
        <v>76</v>
      </c>
      <c r="D20" s="14" t="n">
        <f aca="false">SUM(D5:D19)</f>
        <v>1</v>
      </c>
      <c r="E20" s="13"/>
    </row>
    <row r="22" customFormat="false" ht="15" hidden="false" customHeight="false" outlineLevel="0" collapsed="false">
      <c r="A22" s="15" t="s">
        <v>41</v>
      </c>
    </row>
    <row r="23" customFormat="false" ht="15" hidden="false" customHeight="false" outlineLevel="0" collapsed="false">
      <c r="A23" s="11" t="s">
        <v>42</v>
      </c>
      <c r="B23" s="13"/>
      <c r="C23" s="4" t="n">
        <f aca="false">COUNTIFS('Misclassified Images'!$B$5:$B$80,"rice_*")</f>
        <v>59</v>
      </c>
      <c r="D23" s="13"/>
      <c r="E23" s="16" t="s">
        <v>43</v>
      </c>
    </row>
    <row r="24" customFormat="false" ht="15" hidden="false" customHeight="false" outlineLevel="0" collapsed="false">
      <c r="A24" s="11" t="s">
        <v>44</v>
      </c>
      <c r="B24" s="13"/>
      <c r="C24" s="17" t="n">
        <f aca="false">COUNTIFS('Misclassified Images'!$C$5:$C$80,"*_healthy",'Misclassified Images'!$B$5:$B$80,"&lt;&gt;*_healthy")</f>
        <v>32</v>
      </c>
      <c r="D24" s="13"/>
      <c r="E24" s="16" t="s">
        <v>45</v>
      </c>
    </row>
    <row r="25" customFormat="false" ht="15" hidden="false" customHeight="false" outlineLevel="0" collapsed="false">
      <c r="A25" s="11" t="s">
        <v>39</v>
      </c>
      <c r="B25" s="13"/>
      <c r="C25" s="4" t="n">
        <f aca="false">SUMPRODUCT(--(LEFT('Misclassified Images'!$B$5:$B$80,4)&lt;&gt;LEFT('Misclassified Images'!$C$5:$C$80,4)))</f>
        <v>3</v>
      </c>
      <c r="D25" s="13"/>
      <c r="E25" s="16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15" min="2" style="0" width="11"/>
  </cols>
  <sheetData>
    <row r="1" customFormat="false" ht="17.35" hidden="false" customHeight="false" outlineLevel="0" collapsed="false">
      <c r="A1" s="1" t="s">
        <v>47</v>
      </c>
    </row>
    <row r="2" customFormat="false" ht="15" hidden="false" customHeight="false" outlineLevel="0" collapsed="false">
      <c r="A2" s="2" t="s">
        <v>48</v>
      </c>
    </row>
    <row r="4" customFormat="false" ht="60" hidden="false" customHeight="true" outlineLevel="0" collapsed="false">
      <c r="A4" s="3" t="s">
        <v>49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  <c r="H4" s="3" t="s">
        <v>15</v>
      </c>
      <c r="I4" s="3" t="s">
        <v>16</v>
      </c>
      <c r="J4" s="3" t="s">
        <v>17</v>
      </c>
      <c r="K4" s="3" t="s">
        <v>18</v>
      </c>
      <c r="L4" s="3" t="s">
        <v>19</v>
      </c>
      <c r="M4" s="3" t="s">
        <v>20</v>
      </c>
      <c r="N4" s="3" t="s">
        <v>21</v>
      </c>
      <c r="O4" s="3" t="s">
        <v>22</v>
      </c>
    </row>
    <row r="5" customFormat="false" ht="15" hidden="false" customHeight="false" outlineLevel="0" collapsed="false">
      <c r="A5" s="4" t="s">
        <v>9</v>
      </c>
      <c r="B5" s="18" t="n">
        <v>57</v>
      </c>
      <c r="C5" s="19" t="n">
        <v>0</v>
      </c>
      <c r="D5" s="19" t="n">
        <v>0</v>
      </c>
      <c r="E5" s="19" t="n">
        <v>0</v>
      </c>
      <c r="F5" s="19" t="n">
        <v>0</v>
      </c>
      <c r="G5" s="19" t="n">
        <v>0</v>
      </c>
      <c r="H5" s="19" t="n">
        <v>0</v>
      </c>
      <c r="I5" s="19" t="n">
        <v>0</v>
      </c>
      <c r="J5" s="19" t="n">
        <v>0</v>
      </c>
      <c r="K5" s="19" t="n">
        <v>0</v>
      </c>
      <c r="L5" s="19" t="n">
        <v>0</v>
      </c>
      <c r="M5" s="19" t="n">
        <v>0</v>
      </c>
      <c r="N5" s="19" t="n">
        <v>0</v>
      </c>
      <c r="O5" s="19" t="n">
        <v>0</v>
      </c>
    </row>
    <row r="6" customFormat="false" ht="15" hidden="false" customHeight="false" outlineLevel="0" collapsed="false">
      <c r="A6" s="4" t="s">
        <v>10</v>
      </c>
      <c r="B6" s="19" t="n">
        <v>0</v>
      </c>
      <c r="C6" s="18" t="n">
        <v>70</v>
      </c>
      <c r="D6" s="19" t="n">
        <v>0</v>
      </c>
      <c r="E6" s="19" t="n">
        <v>7</v>
      </c>
      <c r="F6" s="19" t="n">
        <v>0</v>
      </c>
      <c r="G6" s="19" t="n">
        <v>0</v>
      </c>
      <c r="H6" s="19" t="n">
        <v>0</v>
      </c>
      <c r="I6" s="19" t="n">
        <v>0</v>
      </c>
      <c r="J6" s="19" t="n">
        <v>0</v>
      </c>
      <c r="K6" s="19" t="n">
        <v>0</v>
      </c>
      <c r="L6" s="19" t="n">
        <v>0</v>
      </c>
      <c r="M6" s="19" t="n">
        <v>0</v>
      </c>
      <c r="N6" s="19" t="n">
        <v>0</v>
      </c>
      <c r="O6" s="19" t="n">
        <v>0</v>
      </c>
    </row>
    <row r="7" customFormat="false" ht="15" hidden="false" customHeight="false" outlineLevel="0" collapsed="false">
      <c r="A7" s="4" t="s">
        <v>11</v>
      </c>
      <c r="B7" s="19" t="n">
        <v>0</v>
      </c>
      <c r="C7" s="19" t="n">
        <v>0</v>
      </c>
      <c r="D7" s="18" t="n">
        <v>88</v>
      </c>
      <c r="E7" s="19" t="n">
        <v>0</v>
      </c>
      <c r="F7" s="19" t="n">
        <v>0</v>
      </c>
      <c r="G7" s="19" t="n">
        <v>0</v>
      </c>
      <c r="H7" s="19" t="n">
        <v>0</v>
      </c>
      <c r="I7" s="19" t="n">
        <v>0</v>
      </c>
      <c r="J7" s="19" t="n">
        <v>0</v>
      </c>
      <c r="K7" s="19" t="n">
        <v>0</v>
      </c>
      <c r="L7" s="19" t="n">
        <v>0</v>
      </c>
      <c r="M7" s="19" t="n">
        <v>0</v>
      </c>
      <c r="N7" s="19" t="n">
        <v>0</v>
      </c>
      <c r="O7" s="19" t="n">
        <v>0</v>
      </c>
    </row>
    <row r="8" customFormat="false" ht="15" hidden="false" customHeight="false" outlineLevel="0" collapsed="false">
      <c r="A8" s="4" t="s">
        <v>12</v>
      </c>
      <c r="B8" s="19" t="n">
        <v>0</v>
      </c>
      <c r="C8" s="19" t="n">
        <v>1</v>
      </c>
      <c r="D8" s="19" t="n">
        <v>0</v>
      </c>
      <c r="E8" s="18" t="n">
        <v>44</v>
      </c>
      <c r="F8" s="19" t="n">
        <v>0</v>
      </c>
      <c r="G8" s="19" t="n">
        <v>0</v>
      </c>
      <c r="H8" s="19" t="n">
        <v>0</v>
      </c>
      <c r="I8" s="19" t="n">
        <v>0</v>
      </c>
      <c r="J8" s="19" t="n">
        <v>0</v>
      </c>
      <c r="K8" s="19" t="n">
        <v>0</v>
      </c>
      <c r="L8" s="19" t="n">
        <v>0</v>
      </c>
      <c r="M8" s="19" t="n">
        <v>0</v>
      </c>
      <c r="N8" s="19" t="n">
        <v>0</v>
      </c>
      <c r="O8" s="19" t="n">
        <v>0</v>
      </c>
    </row>
    <row r="9" customFormat="false" ht="15" hidden="false" customHeight="false" outlineLevel="0" collapsed="false">
      <c r="A9" s="4" t="s">
        <v>13</v>
      </c>
      <c r="B9" s="19" t="n">
        <v>0</v>
      </c>
      <c r="C9" s="19" t="n">
        <v>0</v>
      </c>
      <c r="D9" s="19" t="n">
        <v>0</v>
      </c>
      <c r="E9" s="19" t="n">
        <v>0</v>
      </c>
      <c r="F9" s="18" t="n">
        <v>211</v>
      </c>
      <c r="G9" s="19" t="n">
        <v>0</v>
      </c>
      <c r="H9" s="19" t="n">
        <v>0</v>
      </c>
      <c r="I9" s="19" t="n">
        <v>0</v>
      </c>
      <c r="J9" s="19" t="n">
        <v>0</v>
      </c>
      <c r="K9" s="19" t="n">
        <v>0</v>
      </c>
      <c r="L9" s="19" t="n">
        <v>0</v>
      </c>
      <c r="M9" s="19" t="n">
        <v>0</v>
      </c>
      <c r="N9" s="19" t="n">
        <v>0</v>
      </c>
      <c r="O9" s="19" t="n">
        <v>0</v>
      </c>
    </row>
    <row r="10" customFormat="false" ht="15" hidden="false" customHeight="false" outlineLevel="0" collapsed="false">
      <c r="A10" s="4" t="s">
        <v>14</v>
      </c>
      <c r="B10" s="19" t="n">
        <v>0</v>
      </c>
      <c r="C10" s="19" t="n">
        <v>0</v>
      </c>
      <c r="D10" s="19" t="n">
        <v>0</v>
      </c>
      <c r="E10" s="19" t="n">
        <v>0</v>
      </c>
      <c r="F10" s="19" t="n">
        <v>0</v>
      </c>
      <c r="G10" s="18" t="n">
        <v>129</v>
      </c>
      <c r="H10" s="19" t="n">
        <v>0</v>
      </c>
      <c r="I10" s="19" t="n">
        <v>0</v>
      </c>
      <c r="J10" s="19" t="n">
        <v>0</v>
      </c>
      <c r="K10" s="19" t="n">
        <v>0</v>
      </c>
      <c r="L10" s="19" t="n">
        <v>0</v>
      </c>
      <c r="M10" s="19" t="n">
        <v>0</v>
      </c>
      <c r="N10" s="19" t="n">
        <v>0</v>
      </c>
      <c r="O10" s="19" t="n">
        <v>0</v>
      </c>
    </row>
    <row r="11" customFormat="false" ht="15" hidden="false" customHeight="false" outlineLevel="0" collapsed="false">
      <c r="A11" s="4" t="s">
        <v>15</v>
      </c>
      <c r="B11" s="19" t="n">
        <v>0</v>
      </c>
      <c r="C11" s="19" t="n">
        <v>0</v>
      </c>
      <c r="D11" s="19" t="n">
        <v>0</v>
      </c>
      <c r="E11" s="19" t="n">
        <v>0</v>
      </c>
      <c r="F11" s="19" t="n">
        <v>0</v>
      </c>
      <c r="G11" s="19" t="n">
        <v>2</v>
      </c>
      <c r="H11" s="18" t="n">
        <v>196</v>
      </c>
      <c r="I11" s="19" t="n">
        <v>0</v>
      </c>
      <c r="J11" s="19" t="n">
        <v>0</v>
      </c>
      <c r="K11" s="19" t="n">
        <v>0</v>
      </c>
      <c r="L11" s="19" t="n">
        <v>0</v>
      </c>
      <c r="M11" s="19" t="n">
        <v>0</v>
      </c>
      <c r="N11" s="19" t="n">
        <v>0</v>
      </c>
      <c r="O11" s="19" t="n">
        <v>0</v>
      </c>
    </row>
    <row r="12" customFormat="false" ht="15" hidden="false" customHeight="false" outlineLevel="0" collapsed="false">
      <c r="A12" s="4" t="s">
        <v>16</v>
      </c>
      <c r="B12" s="19" t="n">
        <v>0</v>
      </c>
      <c r="C12" s="19" t="n">
        <v>0</v>
      </c>
      <c r="D12" s="19" t="n">
        <v>0</v>
      </c>
      <c r="E12" s="19" t="n">
        <v>0</v>
      </c>
      <c r="F12" s="19" t="n">
        <v>0</v>
      </c>
      <c r="G12" s="19" t="n">
        <v>0</v>
      </c>
      <c r="H12" s="19" t="n">
        <v>0</v>
      </c>
      <c r="I12" s="18" t="n">
        <v>73</v>
      </c>
      <c r="J12" s="19" t="n">
        <v>8</v>
      </c>
      <c r="K12" s="19" t="n">
        <v>11</v>
      </c>
      <c r="L12" s="19" t="n">
        <v>0</v>
      </c>
      <c r="M12" s="19" t="n">
        <v>0</v>
      </c>
      <c r="N12" s="19" t="n">
        <v>0</v>
      </c>
      <c r="O12" s="19" t="n">
        <v>0</v>
      </c>
    </row>
    <row r="13" customFormat="false" ht="15" hidden="false" customHeight="false" outlineLevel="0" collapsed="false">
      <c r="A13" s="4" t="s">
        <v>17</v>
      </c>
      <c r="B13" s="19" t="n">
        <v>0</v>
      </c>
      <c r="C13" s="19" t="n">
        <v>0</v>
      </c>
      <c r="D13" s="19" t="n">
        <v>0</v>
      </c>
      <c r="E13" s="19" t="n">
        <v>0</v>
      </c>
      <c r="F13" s="19" t="n">
        <v>0</v>
      </c>
      <c r="G13" s="19" t="n">
        <v>0</v>
      </c>
      <c r="H13" s="19" t="n">
        <v>0</v>
      </c>
      <c r="I13" s="19" t="n">
        <v>3</v>
      </c>
      <c r="J13" s="18" t="n">
        <v>162</v>
      </c>
      <c r="K13" s="19" t="n">
        <v>3</v>
      </c>
      <c r="L13" s="19" t="n">
        <v>0</v>
      </c>
      <c r="M13" s="19" t="n">
        <v>0</v>
      </c>
      <c r="N13" s="19" t="n">
        <v>0</v>
      </c>
      <c r="O13" s="19" t="n">
        <v>0</v>
      </c>
    </row>
    <row r="14" customFormat="false" ht="15" hidden="false" customHeight="false" outlineLevel="0" collapsed="false">
      <c r="A14" s="4" t="s">
        <v>18</v>
      </c>
      <c r="B14" s="19" t="n">
        <v>0</v>
      </c>
      <c r="C14" s="19" t="n">
        <v>0</v>
      </c>
      <c r="D14" s="19" t="n">
        <v>0</v>
      </c>
      <c r="E14" s="19" t="n">
        <v>0</v>
      </c>
      <c r="F14" s="19" t="n">
        <v>0</v>
      </c>
      <c r="G14" s="19" t="n">
        <v>0</v>
      </c>
      <c r="H14" s="19" t="n">
        <v>0</v>
      </c>
      <c r="I14" s="19" t="n">
        <v>13</v>
      </c>
      <c r="J14" s="19" t="n">
        <v>20</v>
      </c>
      <c r="K14" s="18" t="n">
        <v>106</v>
      </c>
      <c r="L14" s="19" t="n">
        <v>0</v>
      </c>
      <c r="M14" s="19" t="n">
        <v>0</v>
      </c>
      <c r="N14" s="19" t="n">
        <v>0</v>
      </c>
      <c r="O14" s="19" t="n">
        <v>0</v>
      </c>
    </row>
    <row r="15" customFormat="false" ht="15" hidden="false" customHeight="false" outlineLevel="0" collapsed="false">
      <c r="A15" s="4" t="s">
        <v>19</v>
      </c>
      <c r="B15" s="19" t="n">
        <v>0</v>
      </c>
      <c r="C15" s="19" t="n">
        <v>0</v>
      </c>
      <c r="D15" s="19" t="n">
        <v>0</v>
      </c>
      <c r="E15" s="19" t="n">
        <v>0</v>
      </c>
      <c r="F15" s="19" t="n">
        <v>0</v>
      </c>
      <c r="G15" s="19" t="n">
        <v>0</v>
      </c>
      <c r="H15" s="19" t="n">
        <v>0</v>
      </c>
      <c r="I15" s="19" t="n">
        <v>1</v>
      </c>
      <c r="J15" s="19" t="n">
        <v>0</v>
      </c>
      <c r="K15" s="19" t="n">
        <v>0</v>
      </c>
      <c r="L15" s="18" t="n">
        <v>136</v>
      </c>
      <c r="M15" s="19" t="n">
        <v>0</v>
      </c>
      <c r="N15" s="19" t="n">
        <v>0</v>
      </c>
      <c r="O15" s="19" t="n">
        <v>0</v>
      </c>
    </row>
    <row r="16" customFormat="false" ht="15" hidden="false" customHeight="false" outlineLevel="0" collapsed="false">
      <c r="A16" s="4" t="s">
        <v>20</v>
      </c>
      <c r="B16" s="19" t="n">
        <v>0</v>
      </c>
      <c r="C16" s="19" t="n">
        <v>0</v>
      </c>
      <c r="D16" s="19" t="n">
        <v>1</v>
      </c>
      <c r="E16" s="19" t="n">
        <v>0</v>
      </c>
      <c r="F16" s="19" t="n">
        <v>0</v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0</v>
      </c>
      <c r="L16" s="19" t="n">
        <v>0</v>
      </c>
      <c r="M16" s="18" t="n">
        <v>131</v>
      </c>
      <c r="N16" s="19" t="n">
        <v>0</v>
      </c>
      <c r="O16" s="19" t="n">
        <v>1</v>
      </c>
    </row>
    <row r="17" customFormat="false" ht="15" hidden="false" customHeight="false" outlineLevel="0" collapsed="false">
      <c r="A17" s="4" t="s">
        <v>21</v>
      </c>
      <c r="B17" s="19" t="n">
        <v>0</v>
      </c>
      <c r="C17" s="19" t="n">
        <v>0</v>
      </c>
      <c r="D17" s="19" t="n">
        <v>0</v>
      </c>
      <c r="E17" s="19" t="n">
        <v>1</v>
      </c>
      <c r="F17" s="19" t="n">
        <v>0</v>
      </c>
      <c r="G17" s="19" t="n">
        <v>0</v>
      </c>
      <c r="H17" s="19" t="n">
        <v>0</v>
      </c>
      <c r="I17" s="19" t="n">
        <v>0</v>
      </c>
      <c r="J17" s="19" t="n">
        <v>0</v>
      </c>
      <c r="K17" s="19" t="n">
        <v>0</v>
      </c>
      <c r="L17" s="19" t="n">
        <v>0</v>
      </c>
      <c r="M17" s="19" t="n">
        <v>0</v>
      </c>
      <c r="N17" s="18" t="n">
        <v>166</v>
      </c>
      <c r="O17" s="19" t="n">
        <v>0</v>
      </c>
    </row>
    <row r="18" customFormat="false" ht="15" hidden="false" customHeight="false" outlineLevel="0" collapsed="false">
      <c r="A18" s="4" t="s">
        <v>22</v>
      </c>
      <c r="B18" s="19" t="n">
        <v>0</v>
      </c>
      <c r="C18" s="19" t="n">
        <v>0</v>
      </c>
      <c r="D18" s="19" t="n">
        <v>1</v>
      </c>
      <c r="E18" s="19" t="n">
        <v>0</v>
      </c>
      <c r="F18" s="19" t="n">
        <v>0</v>
      </c>
      <c r="G18" s="19" t="n">
        <v>0</v>
      </c>
      <c r="H18" s="19" t="n">
        <v>0</v>
      </c>
      <c r="I18" s="19" t="n">
        <v>0</v>
      </c>
      <c r="J18" s="19" t="n">
        <v>0</v>
      </c>
      <c r="K18" s="19" t="n">
        <v>0</v>
      </c>
      <c r="L18" s="19" t="n">
        <v>0</v>
      </c>
      <c r="M18" s="19" t="n">
        <v>3</v>
      </c>
      <c r="N18" s="19" t="n">
        <v>0</v>
      </c>
      <c r="O18" s="18" t="n">
        <v>134</v>
      </c>
    </row>
  </sheetData>
  <conditionalFormatting sqref="B5:O18">
    <cfRule type="colorScale" priority="2">
      <colorScale>
        <cfvo type="num" val="0"/>
        <cfvo type="max" val="0"/>
        <color rgb="FFFFFFFF"/>
        <color rgb="FF5B9BD5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3" min="2" style="0" width="28"/>
  </cols>
  <sheetData>
    <row r="1" customFormat="false" ht="17.35" hidden="false" customHeight="false" outlineLevel="0" collapsed="false">
      <c r="A1" s="1" t="s">
        <v>50</v>
      </c>
    </row>
    <row r="2" customFormat="false" ht="15" hidden="false" customHeight="false" outlineLevel="0" collapsed="false">
      <c r="A2" s="2" t="s">
        <v>51</v>
      </c>
    </row>
    <row r="4" customFormat="false" ht="15" hidden="false" customHeight="false" outlineLevel="0" collapsed="false">
      <c r="A4" s="3" t="s">
        <v>52</v>
      </c>
      <c r="B4" s="3" t="s">
        <v>31</v>
      </c>
      <c r="C4" s="3" t="s">
        <v>53</v>
      </c>
    </row>
    <row r="5" customFormat="false" ht="15" hidden="false" customHeight="false" outlineLevel="0" collapsed="false">
      <c r="A5" s="11" t="s">
        <v>54</v>
      </c>
      <c r="B5" s="11" t="s">
        <v>10</v>
      </c>
      <c r="C5" s="11" t="s">
        <v>12</v>
      </c>
    </row>
    <row r="6" customFormat="false" ht="15" hidden="false" customHeight="false" outlineLevel="0" collapsed="false">
      <c r="A6" s="11" t="s">
        <v>55</v>
      </c>
      <c r="B6" s="11" t="s">
        <v>10</v>
      </c>
      <c r="C6" s="11" t="s">
        <v>12</v>
      </c>
    </row>
    <row r="7" customFormat="false" ht="15" hidden="false" customHeight="false" outlineLevel="0" collapsed="false">
      <c r="A7" s="11" t="s">
        <v>56</v>
      </c>
      <c r="B7" s="11" t="s">
        <v>10</v>
      </c>
      <c r="C7" s="11" t="s">
        <v>12</v>
      </c>
    </row>
    <row r="8" customFormat="false" ht="15" hidden="false" customHeight="false" outlineLevel="0" collapsed="false">
      <c r="A8" s="11" t="s">
        <v>57</v>
      </c>
      <c r="B8" s="11" t="s">
        <v>10</v>
      </c>
      <c r="C8" s="11" t="s">
        <v>12</v>
      </c>
    </row>
    <row r="9" customFormat="false" ht="15" hidden="false" customHeight="false" outlineLevel="0" collapsed="false">
      <c r="A9" s="11" t="s">
        <v>58</v>
      </c>
      <c r="B9" s="11" t="s">
        <v>10</v>
      </c>
      <c r="C9" s="11" t="s">
        <v>12</v>
      </c>
    </row>
    <row r="10" customFormat="false" ht="15" hidden="false" customHeight="false" outlineLevel="0" collapsed="false">
      <c r="A10" s="11" t="s">
        <v>59</v>
      </c>
      <c r="B10" s="11" t="s">
        <v>10</v>
      </c>
      <c r="C10" s="11" t="s">
        <v>12</v>
      </c>
    </row>
    <row r="11" customFormat="false" ht="15" hidden="false" customHeight="false" outlineLevel="0" collapsed="false">
      <c r="A11" s="11" t="s">
        <v>60</v>
      </c>
      <c r="B11" s="11" t="s">
        <v>10</v>
      </c>
      <c r="C11" s="11" t="s">
        <v>12</v>
      </c>
    </row>
    <row r="12" customFormat="false" ht="15" hidden="false" customHeight="false" outlineLevel="0" collapsed="false">
      <c r="A12" s="11" t="s">
        <v>61</v>
      </c>
      <c r="B12" s="11" t="s">
        <v>12</v>
      </c>
      <c r="C12" s="11" t="s">
        <v>10</v>
      </c>
    </row>
    <row r="13" customFormat="false" ht="15" hidden="false" customHeight="false" outlineLevel="0" collapsed="false">
      <c r="A13" s="11" t="s">
        <v>62</v>
      </c>
      <c r="B13" s="11" t="s">
        <v>15</v>
      </c>
      <c r="C13" s="11" t="s">
        <v>14</v>
      </c>
    </row>
    <row r="14" customFormat="false" ht="15" hidden="false" customHeight="false" outlineLevel="0" collapsed="false">
      <c r="A14" s="11" t="s">
        <v>63</v>
      </c>
      <c r="B14" s="11" t="s">
        <v>15</v>
      </c>
      <c r="C14" s="11" t="s">
        <v>14</v>
      </c>
    </row>
    <row r="15" customFormat="false" ht="15" hidden="false" customHeight="false" outlineLevel="0" collapsed="false">
      <c r="A15" s="11" t="s">
        <v>64</v>
      </c>
      <c r="B15" s="11" t="s">
        <v>16</v>
      </c>
      <c r="C15" s="11" t="s">
        <v>17</v>
      </c>
    </row>
    <row r="16" customFormat="false" ht="15" hidden="false" customHeight="false" outlineLevel="0" collapsed="false">
      <c r="A16" s="11" t="s">
        <v>65</v>
      </c>
      <c r="B16" s="11" t="s">
        <v>16</v>
      </c>
      <c r="C16" s="11" t="s">
        <v>17</v>
      </c>
    </row>
    <row r="17" customFormat="false" ht="15" hidden="false" customHeight="false" outlineLevel="0" collapsed="false">
      <c r="A17" s="11" t="s">
        <v>66</v>
      </c>
      <c r="B17" s="11" t="s">
        <v>16</v>
      </c>
      <c r="C17" s="11" t="s">
        <v>18</v>
      </c>
    </row>
    <row r="18" customFormat="false" ht="15" hidden="false" customHeight="false" outlineLevel="0" collapsed="false">
      <c r="A18" s="11" t="s">
        <v>67</v>
      </c>
      <c r="B18" s="11" t="s">
        <v>16</v>
      </c>
      <c r="C18" s="11" t="s">
        <v>18</v>
      </c>
    </row>
    <row r="19" customFormat="false" ht="15" hidden="false" customHeight="false" outlineLevel="0" collapsed="false">
      <c r="A19" s="11" t="s">
        <v>68</v>
      </c>
      <c r="B19" s="11" t="s">
        <v>16</v>
      </c>
      <c r="C19" s="11" t="s">
        <v>18</v>
      </c>
    </row>
    <row r="20" customFormat="false" ht="15" hidden="false" customHeight="false" outlineLevel="0" collapsed="false">
      <c r="A20" s="11" t="s">
        <v>69</v>
      </c>
      <c r="B20" s="11" t="s">
        <v>16</v>
      </c>
      <c r="C20" s="11" t="s">
        <v>17</v>
      </c>
    </row>
    <row r="21" customFormat="false" ht="15" hidden="false" customHeight="false" outlineLevel="0" collapsed="false">
      <c r="A21" s="11" t="s">
        <v>70</v>
      </c>
      <c r="B21" s="11" t="s">
        <v>16</v>
      </c>
      <c r="C21" s="11" t="s">
        <v>17</v>
      </c>
    </row>
    <row r="22" customFormat="false" ht="15" hidden="false" customHeight="false" outlineLevel="0" collapsed="false">
      <c r="A22" s="11" t="s">
        <v>71</v>
      </c>
      <c r="B22" s="11" t="s">
        <v>16</v>
      </c>
      <c r="C22" s="11" t="s">
        <v>17</v>
      </c>
    </row>
    <row r="23" customFormat="false" ht="15" hidden="false" customHeight="false" outlineLevel="0" collapsed="false">
      <c r="A23" s="11" t="s">
        <v>72</v>
      </c>
      <c r="B23" s="11" t="s">
        <v>16</v>
      </c>
      <c r="C23" s="11" t="s">
        <v>17</v>
      </c>
    </row>
    <row r="24" customFormat="false" ht="15" hidden="false" customHeight="false" outlineLevel="0" collapsed="false">
      <c r="A24" s="11" t="s">
        <v>73</v>
      </c>
      <c r="B24" s="11" t="s">
        <v>16</v>
      </c>
      <c r="C24" s="11" t="s">
        <v>17</v>
      </c>
    </row>
    <row r="25" customFormat="false" ht="15" hidden="false" customHeight="false" outlineLevel="0" collapsed="false">
      <c r="A25" s="11" t="s">
        <v>74</v>
      </c>
      <c r="B25" s="11" t="s">
        <v>16</v>
      </c>
      <c r="C25" s="11" t="s">
        <v>17</v>
      </c>
    </row>
    <row r="26" customFormat="false" ht="15" hidden="false" customHeight="false" outlineLevel="0" collapsed="false">
      <c r="A26" s="11" t="s">
        <v>75</v>
      </c>
      <c r="B26" s="11" t="s">
        <v>16</v>
      </c>
      <c r="C26" s="11" t="s">
        <v>18</v>
      </c>
    </row>
    <row r="27" customFormat="false" ht="15" hidden="false" customHeight="false" outlineLevel="0" collapsed="false">
      <c r="A27" s="11" t="s">
        <v>76</v>
      </c>
      <c r="B27" s="11" t="s">
        <v>16</v>
      </c>
      <c r="C27" s="11" t="s">
        <v>18</v>
      </c>
    </row>
    <row r="28" customFormat="false" ht="15" hidden="false" customHeight="false" outlineLevel="0" collapsed="false">
      <c r="A28" s="11" t="s">
        <v>77</v>
      </c>
      <c r="B28" s="11" t="s">
        <v>16</v>
      </c>
      <c r="C28" s="11" t="s">
        <v>18</v>
      </c>
    </row>
    <row r="29" customFormat="false" ht="15" hidden="false" customHeight="false" outlineLevel="0" collapsed="false">
      <c r="A29" s="11" t="s">
        <v>78</v>
      </c>
      <c r="B29" s="11" t="s">
        <v>16</v>
      </c>
      <c r="C29" s="11" t="s">
        <v>18</v>
      </c>
    </row>
    <row r="30" customFormat="false" ht="15" hidden="false" customHeight="false" outlineLevel="0" collapsed="false">
      <c r="A30" s="11" t="s">
        <v>79</v>
      </c>
      <c r="B30" s="11" t="s">
        <v>16</v>
      </c>
      <c r="C30" s="11" t="s">
        <v>18</v>
      </c>
    </row>
    <row r="31" customFormat="false" ht="15" hidden="false" customHeight="false" outlineLevel="0" collapsed="false">
      <c r="A31" s="11" t="s">
        <v>80</v>
      </c>
      <c r="B31" s="11" t="s">
        <v>16</v>
      </c>
      <c r="C31" s="11" t="s">
        <v>18</v>
      </c>
    </row>
    <row r="32" customFormat="false" ht="15" hidden="false" customHeight="false" outlineLevel="0" collapsed="false">
      <c r="A32" s="11" t="s">
        <v>81</v>
      </c>
      <c r="B32" s="11" t="s">
        <v>16</v>
      </c>
      <c r="C32" s="11" t="s">
        <v>18</v>
      </c>
    </row>
    <row r="33" customFormat="false" ht="15" hidden="false" customHeight="false" outlineLevel="0" collapsed="false">
      <c r="A33" s="11" t="s">
        <v>82</v>
      </c>
      <c r="B33" s="11" t="s">
        <v>16</v>
      </c>
      <c r="C33" s="11" t="s">
        <v>18</v>
      </c>
    </row>
    <row r="34" customFormat="false" ht="15" hidden="false" customHeight="false" outlineLevel="0" collapsed="false">
      <c r="A34" s="11" t="s">
        <v>83</v>
      </c>
      <c r="B34" s="11" t="s">
        <v>17</v>
      </c>
      <c r="C34" s="11" t="s">
        <v>18</v>
      </c>
    </row>
    <row r="35" customFormat="false" ht="15" hidden="false" customHeight="false" outlineLevel="0" collapsed="false">
      <c r="A35" s="11" t="s">
        <v>84</v>
      </c>
      <c r="B35" s="11" t="s">
        <v>17</v>
      </c>
      <c r="C35" s="11" t="s">
        <v>18</v>
      </c>
    </row>
    <row r="36" customFormat="false" ht="15" hidden="false" customHeight="false" outlineLevel="0" collapsed="false">
      <c r="A36" s="11" t="s">
        <v>85</v>
      </c>
      <c r="B36" s="11" t="s">
        <v>17</v>
      </c>
      <c r="C36" s="11" t="s">
        <v>18</v>
      </c>
    </row>
    <row r="37" customFormat="false" ht="15" hidden="false" customHeight="false" outlineLevel="0" collapsed="false">
      <c r="A37" s="11" t="s">
        <v>86</v>
      </c>
      <c r="B37" s="11" t="s">
        <v>17</v>
      </c>
      <c r="C37" s="11" t="s">
        <v>16</v>
      </c>
    </row>
    <row r="38" customFormat="false" ht="15" hidden="false" customHeight="false" outlineLevel="0" collapsed="false">
      <c r="A38" s="11" t="s">
        <v>87</v>
      </c>
      <c r="B38" s="11" t="s">
        <v>17</v>
      </c>
      <c r="C38" s="11" t="s">
        <v>16</v>
      </c>
    </row>
    <row r="39" customFormat="false" ht="15" hidden="false" customHeight="false" outlineLevel="0" collapsed="false">
      <c r="A39" s="11" t="s">
        <v>88</v>
      </c>
      <c r="B39" s="11" t="s">
        <v>17</v>
      </c>
      <c r="C39" s="11" t="s">
        <v>16</v>
      </c>
    </row>
    <row r="40" customFormat="false" ht="15" hidden="false" customHeight="false" outlineLevel="0" collapsed="false">
      <c r="A40" s="11" t="s">
        <v>89</v>
      </c>
      <c r="B40" s="11" t="s">
        <v>18</v>
      </c>
      <c r="C40" s="11" t="s">
        <v>17</v>
      </c>
    </row>
    <row r="41" customFormat="false" ht="15" hidden="false" customHeight="false" outlineLevel="0" collapsed="false">
      <c r="A41" s="11" t="s">
        <v>90</v>
      </c>
      <c r="B41" s="11" t="s">
        <v>18</v>
      </c>
      <c r="C41" s="11" t="s">
        <v>17</v>
      </c>
    </row>
    <row r="42" customFormat="false" ht="15" hidden="false" customHeight="false" outlineLevel="0" collapsed="false">
      <c r="A42" s="11" t="s">
        <v>91</v>
      </c>
      <c r="B42" s="11" t="s">
        <v>18</v>
      </c>
      <c r="C42" s="11" t="s">
        <v>17</v>
      </c>
    </row>
    <row r="43" customFormat="false" ht="15" hidden="false" customHeight="false" outlineLevel="0" collapsed="false">
      <c r="A43" s="11" t="s">
        <v>92</v>
      </c>
      <c r="B43" s="11" t="s">
        <v>18</v>
      </c>
      <c r="C43" s="11" t="s">
        <v>17</v>
      </c>
    </row>
    <row r="44" customFormat="false" ht="15" hidden="false" customHeight="false" outlineLevel="0" collapsed="false">
      <c r="A44" s="11" t="s">
        <v>93</v>
      </c>
      <c r="B44" s="11" t="s">
        <v>18</v>
      </c>
      <c r="C44" s="11" t="s">
        <v>17</v>
      </c>
    </row>
    <row r="45" customFormat="false" ht="15" hidden="false" customHeight="false" outlineLevel="0" collapsed="false">
      <c r="A45" s="11" t="s">
        <v>94</v>
      </c>
      <c r="B45" s="11" t="s">
        <v>18</v>
      </c>
      <c r="C45" s="11" t="s">
        <v>17</v>
      </c>
    </row>
    <row r="46" customFormat="false" ht="15" hidden="false" customHeight="false" outlineLevel="0" collapsed="false">
      <c r="A46" s="11" t="s">
        <v>95</v>
      </c>
      <c r="B46" s="11" t="s">
        <v>18</v>
      </c>
      <c r="C46" s="11" t="s">
        <v>17</v>
      </c>
    </row>
    <row r="47" customFormat="false" ht="15" hidden="false" customHeight="false" outlineLevel="0" collapsed="false">
      <c r="A47" s="11" t="s">
        <v>96</v>
      </c>
      <c r="B47" s="11" t="s">
        <v>18</v>
      </c>
      <c r="C47" s="11" t="s">
        <v>17</v>
      </c>
    </row>
    <row r="48" customFormat="false" ht="15" hidden="false" customHeight="false" outlineLevel="0" collapsed="false">
      <c r="A48" s="11" t="s">
        <v>97</v>
      </c>
      <c r="B48" s="11" t="s">
        <v>18</v>
      </c>
      <c r="C48" s="11" t="s">
        <v>16</v>
      </c>
    </row>
    <row r="49" customFormat="false" ht="15" hidden="false" customHeight="false" outlineLevel="0" collapsed="false">
      <c r="A49" s="11" t="s">
        <v>98</v>
      </c>
      <c r="B49" s="11" t="s">
        <v>18</v>
      </c>
      <c r="C49" s="11" t="s">
        <v>17</v>
      </c>
    </row>
    <row r="50" customFormat="false" ht="15" hidden="false" customHeight="false" outlineLevel="0" collapsed="false">
      <c r="A50" s="11" t="s">
        <v>99</v>
      </c>
      <c r="B50" s="11" t="s">
        <v>18</v>
      </c>
      <c r="C50" s="11" t="s">
        <v>17</v>
      </c>
    </row>
    <row r="51" customFormat="false" ht="15" hidden="false" customHeight="false" outlineLevel="0" collapsed="false">
      <c r="A51" s="11" t="s">
        <v>100</v>
      </c>
      <c r="B51" s="11" t="s">
        <v>18</v>
      </c>
      <c r="C51" s="11" t="s">
        <v>17</v>
      </c>
    </row>
    <row r="52" customFormat="false" ht="15" hidden="false" customHeight="false" outlineLevel="0" collapsed="false">
      <c r="A52" s="11" t="s">
        <v>101</v>
      </c>
      <c r="B52" s="11" t="s">
        <v>18</v>
      </c>
      <c r="C52" s="11" t="s">
        <v>17</v>
      </c>
    </row>
    <row r="53" customFormat="false" ht="15" hidden="false" customHeight="false" outlineLevel="0" collapsed="false">
      <c r="A53" s="11" t="s">
        <v>102</v>
      </c>
      <c r="B53" s="11" t="s">
        <v>18</v>
      </c>
      <c r="C53" s="11" t="s">
        <v>17</v>
      </c>
    </row>
    <row r="54" customFormat="false" ht="15" hidden="false" customHeight="false" outlineLevel="0" collapsed="false">
      <c r="A54" s="11" t="s">
        <v>103</v>
      </c>
      <c r="B54" s="11" t="s">
        <v>18</v>
      </c>
      <c r="C54" s="11" t="s">
        <v>16</v>
      </c>
    </row>
    <row r="55" customFormat="false" ht="15" hidden="false" customHeight="false" outlineLevel="0" collapsed="false">
      <c r="A55" s="11" t="s">
        <v>104</v>
      </c>
      <c r="B55" s="11" t="s">
        <v>18</v>
      </c>
      <c r="C55" s="11" t="s">
        <v>16</v>
      </c>
    </row>
    <row r="56" customFormat="false" ht="15" hidden="false" customHeight="false" outlineLevel="0" collapsed="false">
      <c r="A56" s="11" t="s">
        <v>105</v>
      </c>
      <c r="B56" s="11" t="s">
        <v>18</v>
      </c>
      <c r="C56" s="11" t="s">
        <v>17</v>
      </c>
    </row>
    <row r="57" customFormat="false" ht="15" hidden="false" customHeight="false" outlineLevel="0" collapsed="false">
      <c r="A57" s="11" t="s">
        <v>106</v>
      </c>
      <c r="B57" s="11" t="s">
        <v>18</v>
      </c>
      <c r="C57" s="11" t="s">
        <v>16</v>
      </c>
    </row>
    <row r="58" customFormat="false" ht="15" hidden="false" customHeight="false" outlineLevel="0" collapsed="false">
      <c r="A58" s="11" t="s">
        <v>107</v>
      </c>
      <c r="B58" s="11" t="s">
        <v>18</v>
      </c>
      <c r="C58" s="11" t="s">
        <v>16</v>
      </c>
    </row>
    <row r="59" customFormat="false" ht="15" hidden="false" customHeight="false" outlineLevel="0" collapsed="false">
      <c r="A59" s="11" t="s">
        <v>108</v>
      </c>
      <c r="B59" s="11" t="s">
        <v>18</v>
      </c>
      <c r="C59" s="11" t="s">
        <v>17</v>
      </c>
    </row>
    <row r="60" customFormat="false" ht="15" hidden="false" customHeight="false" outlineLevel="0" collapsed="false">
      <c r="A60" s="11" t="s">
        <v>109</v>
      </c>
      <c r="B60" s="11" t="s">
        <v>18</v>
      </c>
      <c r="C60" s="11" t="s">
        <v>17</v>
      </c>
    </row>
    <row r="61" customFormat="false" ht="15" hidden="false" customHeight="false" outlineLevel="0" collapsed="false">
      <c r="A61" s="11" t="s">
        <v>110</v>
      </c>
      <c r="B61" s="11" t="s">
        <v>18</v>
      </c>
      <c r="C61" s="11" t="s">
        <v>16</v>
      </c>
    </row>
    <row r="62" customFormat="false" ht="15" hidden="false" customHeight="false" outlineLevel="0" collapsed="false">
      <c r="A62" s="11" t="s">
        <v>111</v>
      </c>
      <c r="B62" s="11" t="s">
        <v>18</v>
      </c>
      <c r="C62" s="11" t="s">
        <v>17</v>
      </c>
    </row>
    <row r="63" customFormat="false" ht="15" hidden="false" customHeight="false" outlineLevel="0" collapsed="false">
      <c r="A63" s="11" t="s">
        <v>112</v>
      </c>
      <c r="B63" s="11" t="s">
        <v>18</v>
      </c>
      <c r="C63" s="11" t="s">
        <v>17</v>
      </c>
    </row>
    <row r="64" customFormat="false" ht="15" hidden="false" customHeight="false" outlineLevel="0" collapsed="false">
      <c r="A64" s="11" t="s">
        <v>113</v>
      </c>
      <c r="B64" s="11" t="s">
        <v>18</v>
      </c>
      <c r="C64" s="11" t="s">
        <v>16</v>
      </c>
    </row>
    <row r="65" customFormat="false" ht="15" hidden="false" customHeight="false" outlineLevel="0" collapsed="false">
      <c r="A65" s="11" t="s">
        <v>114</v>
      </c>
      <c r="B65" s="11" t="s">
        <v>18</v>
      </c>
      <c r="C65" s="11" t="s">
        <v>16</v>
      </c>
    </row>
    <row r="66" customFormat="false" ht="15" hidden="false" customHeight="false" outlineLevel="0" collapsed="false">
      <c r="A66" s="11" t="s">
        <v>115</v>
      </c>
      <c r="B66" s="11" t="s">
        <v>18</v>
      </c>
      <c r="C66" s="11" t="s">
        <v>16</v>
      </c>
    </row>
    <row r="67" customFormat="false" ht="15" hidden="false" customHeight="false" outlineLevel="0" collapsed="false">
      <c r="A67" s="11" t="s">
        <v>116</v>
      </c>
      <c r="B67" s="11" t="s">
        <v>18</v>
      </c>
      <c r="C67" s="11" t="s">
        <v>17</v>
      </c>
    </row>
    <row r="68" customFormat="false" ht="15" hidden="false" customHeight="false" outlineLevel="0" collapsed="false">
      <c r="A68" s="11" t="s">
        <v>117</v>
      </c>
      <c r="B68" s="11" t="s">
        <v>18</v>
      </c>
      <c r="C68" s="11" t="s">
        <v>17</v>
      </c>
    </row>
    <row r="69" customFormat="false" ht="15" hidden="false" customHeight="false" outlineLevel="0" collapsed="false">
      <c r="A69" s="11" t="s">
        <v>118</v>
      </c>
      <c r="B69" s="11" t="s">
        <v>18</v>
      </c>
      <c r="C69" s="11" t="s">
        <v>16</v>
      </c>
    </row>
    <row r="70" customFormat="false" ht="15" hidden="false" customHeight="false" outlineLevel="0" collapsed="false">
      <c r="A70" s="11" t="s">
        <v>119</v>
      </c>
      <c r="B70" s="11" t="s">
        <v>18</v>
      </c>
      <c r="C70" s="11" t="s">
        <v>16</v>
      </c>
    </row>
    <row r="71" customFormat="false" ht="15" hidden="false" customHeight="false" outlineLevel="0" collapsed="false">
      <c r="A71" s="11" t="s">
        <v>120</v>
      </c>
      <c r="B71" s="11" t="s">
        <v>18</v>
      </c>
      <c r="C71" s="11" t="s">
        <v>16</v>
      </c>
    </row>
    <row r="72" customFormat="false" ht="15" hidden="false" customHeight="false" outlineLevel="0" collapsed="false">
      <c r="A72" s="11" t="s">
        <v>121</v>
      </c>
      <c r="B72" s="11" t="s">
        <v>18</v>
      </c>
      <c r="C72" s="11" t="s">
        <v>16</v>
      </c>
    </row>
    <row r="73" customFormat="false" ht="15" hidden="false" customHeight="false" outlineLevel="0" collapsed="false">
      <c r="A73" s="11" t="s">
        <v>122</v>
      </c>
      <c r="B73" s="11" t="s">
        <v>19</v>
      </c>
      <c r="C73" s="11" t="s">
        <v>16</v>
      </c>
    </row>
    <row r="74" customFormat="false" ht="15" hidden="false" customHeight="false" outlineLevel="0" collapsed="false">
      <c r="A74" s="11" t="s">
        <v>123</v>
      </c>
      <c r="B74" s="11" t="s">
        <v>20</v>
      </c>
      <c r="C74" s="11" t="s">
        <v>11</v>
      </c>
    </row>
    <row r="75" customFormat="false" ht="15" hidden="false" customHeight="false" outlineLevel="0" collapsed="false">
      <c r="A75" s="11" t="s">
        <v>124</v>
      </c>
      <c r="B75" s="11" t="s">
        <v>20</v>
      </c>
      <c r="C75" s="11" t="s">
        <v>22</v>
      </c>
    </row>
    <row r="76" customFormat="false" ht="15" hidden="false" customHeight="false" outlineLevel="0" collapsed="false">
      <c r="A76" s="11" t="s">
        <v>125</v>
      </c>
      <c r="B76" s="11" t="s">
        <v>21</v>
      </c>
      <c r="C76" s="11" t="s">
        <v>12</v>
      </c>
    </row>
    <row r="77" customFormat="false" ht="15" hidden="false" customHeight="false" outlineLevel="0" collapsed="false">
      <c r="A77" s="11" t="s">
        <v>126</v>
      </c>
      <c r="B77" s="11" t="s">
        <v>22</v>
      </c>
      <c r="C77" s="11" t="s">
        <v>20</v>
      </c>
    </row>
    <row r="78" customFormat="false" ht="15" hidden="false" customHeight="false" outlineLevel="0" collapsed="false">
      <c r="A78" s="11" t="s">
        <v>127</v>
      </c>
      <c r="B78" s="11" t="s">
        <v>22</v>
      </c>
      <c r="C78" s="11" t="s">
        <v>20</v>
      </c>
    </row>
    <row r="79" customFormat="false" ht="15" hidden="false" customHeight="false" outlineLevel="0" collapsed="false">
      <c r="A79" s="11" t="s">
        <v>128</v>
      </c>
      <c r="B79" s="11" t="s">
        <v>22</v>
      </c>
      <c r="C79" s="11" t="s">
        <v>20</v>
      </c>
    </row>
    <row r="80" customFormat="false" ht="15" hidden="false" customHeight="false" outlineLevel="0" collapsed="false">
      <c r="A80" s="11" t="s">
        <v>129</v>
      </c>
      <c r="B80" s="11" t="s">
        <v>22</v>
      </c>
      <c r="C80" s="11" t="s">
        <v>11</v>
      </c>
    </row>
  </sheetData>
  <autoFilter ref="A4:C8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2026-10-13T11:57:43Z</dcterms:created>
  <dc:creator>openpyxl</dc:creator>
  <dc:description/>
  <dc:language>en-US</dc:language>
  <cp:lastModifiedBy/>
  <dcterms:modified xsi:type="dcterms:W3CDTF">2026-10-13T11:57:43Z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